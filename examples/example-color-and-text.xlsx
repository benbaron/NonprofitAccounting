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?>
<ns0:Relationships xmlns:ns0="http://schemas.openxmlformats.org/package/2006/relationships">
  <ns0:Relationship Id="rId1" Type="http://schemas.openxmlformats.org/officeDocument/2006/relationships/officeDocument" Target="xl/workbook.xml"/>
</ns0:Relationships>

</file>

<file path=xl/workbook.xml><?xml version="1.0" encoding="utf-8"?>
<ns0:workbook xmlns:ns0="http://schemas.openxmlformats.org/spreadsheetml/2006/main" xmlns:ns1="http://schemas.openxmlformats.org/officeDocument/2006/relationships" xmlns:r="http://schemas.openxmlformats.org/officeDocument/2006/relationships">
  <ns0:sheets>
    <ns0:sheet name="MonthlySummary" sheetId="1" ns1:id="rId1"/>
  </ns0:sheets>
</ns0:workbook>
</file>

<file path=xl/sharedStrings.xml><?xml version="1.0" encoding="utf-8"?>
<ns0:sst xmlns:ns0="http://schemas.openxmlformats.org/spreadsheetml/2006/main" count="38" uniqueCount="38">
  <ns0:si>
    <ns0:t>Community Center Monthly Summary [[section title]]</ns0:t>
  </ns0:si>
  <ns0:si>
    <ns0:t>Reporting Month: [[field name=ReportMonth type=String section=pageHeader]]</ns0:t>
  </ns0:si>
  <ns0:si>
    <ns0:t>April 2025</ns0:t>
  </ns0:si>
  <ns0:si>
    <ns0:t>Prepared By [[field name=PreparedBy type=String section=pageHeader]]</ns0:t>
  </ns0:si>
  <ns0:si>
    <ns0:t>Finance Team</ns0:t>
  </ns0:si>
  <ns0:si>
    <ns0:t>Program</ns0:t>
  </ns0:si>
  <ns0:si>
    <ns0:t>Category</ns0:t>
  </ns0:si>
  <ns0:si>
    <ns0:t>Budget</ns0:t>
  </ns0:si>
  <ns0:si>
    <ns0:t>Actual</ns0:t>
  </ns0:si>
  <ns0:si>
    <ns0:t>Variance</ns0:t>
  </ns0:si>
  <ns0:si>
    <ns0:t>Youth Outreach</ns0:t>
  </ns0:si>
  <ns0:si>
    <ns0:t>Supplies</ns0:t>
  </ns0:si>
  <ns0:si>
    <ns0:t>[[field name=Budget_YouthOutreach_Supplies type=Double pattern="$ #,##0.00" align=Right]]</ns0:t>
  </ns0:si>
  <ns0:si>
    <ns0:t>[[field name=Actual_YouthOutreach_Supplies type=Double pattern="$ #,##0.00" align=Right]]</ns0:t>
  </ns0:si>
  <ns0:si>
    <ns0:t/>
  </ns0:si>
  <ns0:si>
    <ns0:t>Staffing</ns0:t>
  </ns0:si>
  <ns0:si>
    <ns0:t>[[field name=Budget_YouthOutreach_Staffing type=Double pattern="$ #,##0.00" align=Right]]</ns0:t>
  </ns0:si>
  <ns0:si>
    <ns0:t>[[field name=Actual_YouthOutreach_Staffing type=Double pattern="$ #,##0.00" align=Right]]</ns0:t>
  </ns0:si>
  <ns0:si>
    <ns0:t>Food Pantry</ns0:t>
  </ns0:si>
  <ns0:si>
    <ns0:t>Inventory</ns0:t>
  </ns0:si>
  <ns0:si>
    <ns0:t>[[field name=Budget_FoodPantry_Inventory type=Double pattern="$ #,##0.00" align=Right]]</ns0:t>
  </ns0:si>
  <ns0:si>
    <ns0:t>[[field name=Actual_FoodPantry_Inventory type=Double pattern="$ #,##0.00" align=Right]]</ns0:t>
  </ns0:si>
  <ns0:si>
    <ns0:t>Distribution</ns0:t>
  </ns0:si>
  <ns0:si>
    <ns0:t>[[field name=Budget_FoodPantry_Distribution type=Double pattern="$ #,##0.00" align=Right]]</ns0:t>
  </ns0:si>
  <ns0:si>
    <ns0:t>[[field name=Actual_FoodPantry_Distribution type=Double pattern="$ #,##0.00" align=Right]]</ns0:t>
  </ns0:si>
  <ns0:si>
    <ns0:t>Community Events</ns0:t>
  </ns0:si>
  <ns0:si>
    <ns0:t>Venue</ns0:t>
  </ns0:si>
  <ns0:si>
    <ns0:t>[[field name=Budget_CommunityEvents_Venue type=Double pattern="$ #,##0.00" align=Right]]</ns0:t>
  </ns0:si>
  <ns0:si>
    <ns0:t>[[field name=Actual_CommunityEvents_Venue type=Double pattern="$ #,##0.00" align=Right]]</ns0:t>
  </ns0:si>
  <ns0:si>
    <ns0:t>Marketing</ns0:t>
  </ns0:si>
  <ns0:si>
    <ns0:t>[[field name=Budget_CommunityEvents_Marketing type=Double pattern="$ #,##0.00" align=Right]]</ns0:t>
  </ns0:si>
  <ns0:si>
    <ns0:t>[[field name=Actual_CommunityEvents_Marketing type=Double pattern="$ #,##0.00" align=Right]]</ns0:t>
  </ns0:si>
  <ns0:si>
    <ns0:t>Totals</ns0:t>
  </ns0:si>
  <ns0:si>
    <ns0:t>Approved By [[field name=ApprovedBy type=String force=1 section=pageFooter]]</ns0:t>
  </ns0:si>
  <ns0:si>
    <ns0:t>Director</ns0:t>
  </ns0:si>
  <ns0:si>
    <ns0:t>Approval Date [[field name=ApprovalDate type=Date force=1 section=pageFooter]]</ns0:t>
  </ns0:si>
  <ns0:si>
    <ns0:t>2025-04-30</ns0:t>
  </ns0:si>
  <ns0:si>
    <ns0:t>Internal Notes (ignored)</ns0:t>
  </ns0:si>
</ns0:sst>
</file>

<file path=xl/styles.xml><?xml version="1.0" encoding="utf-8"?>
<ns0:styleSheet xmlns:ns0="http://schemas.openxmlformats.org/spreadsheetml/2006/main">
  <ns0:fonts count="1">
    <ns0:font>
      <ns0:sz val="11"/>
      <ns0:color theme="1"/>
      <ns0:name val="Calibri"/>
      <ns0:family val="2"/>
      <ns0:scheme val="minor"/>
    </ns0:font>
  </ns0:fonts>
  <ns0:fills count="5">
    <ns0:fill>
      <ns0:patternFill patternType="none"/>
    </ns0:fill>
    <ns0:fill>
      <ns0:patternFill patternType="gray125"/>
    </ns0:fill>
    <ns0:fill>
      <ns0:patternFill patternType="solid">
        <ns0:fgColor rgb="FFCCFFCC"/>
        <ns0:bgColor indexed="64"/>
      </ns0:patternFill>
    </ns0:fill>
    <ns0:fill>
      <ns0:patternFill patternType="solid">
        <ns0:fgColor rgb="FFFF00FF"/>
        <ns0:bgColor indexed="64"/>
      </ns0:patternFill>
    </ns0:fill>
    <ns0:fill>
      <ns0:patternFill patternType="solid">
        <ns0:fgColor rgb="FF4F81BD"/>
        <ns0:bgColor indexed="64"/>
      </ns0:patternFill>
    </ns0:fill>
  </ns0:fills>
  <ns0:borders count="1">
    <ns0:border>
      <ns0:left/>
      <ns0:right/>
      <ns0:top/>
      <ns0:bottom/>
      <ns0:diagonal/>
    </ns0:border>
  </ns0:borders>
  <ns0:cellXfs count="4">
    <ns0:xf numFmtId="0" fontId="0" fillId="0" borderId="0" xfId="0"/>
    <ns0:xf numFmtId="0" fontId="0" fillId="2" borderId="0" xfId="0" applyFill="1"/>
    <ns0:xf numFmtId="0" fontId="0" fillId="3" borderId="0" xfId="0" applyFill="1"/>
    <ns0:xf numFmtId="0" fontId="0" fillId="4" borderId="0" xfId="0" applyFill="1"/>
  </ns0:cellXfs>
</ns0:styleSheet>
</file>

<file path=xl/_rels/workbook.xml.rels><?xml version="1.0" ?>
<ns0:Relationships xmlns:ns0="http://schemas.openxmlformats.org/package/2006/relationships">
  <ns0:Relationship Id="rId1" Type="http://schemas.openxmlformats.org/officeDocument/2006/relationships/worksheet" Target="worksheets/sheet1.xml"/>
  <ns0:Relationship Id="rId2" Type="http://schemas.openxmlformats.org/officeDocument/2006/relationships/styles" Target="styles.xml"/>
  <ns0:Relationship Id="rId3" Type="http://schemas.openxmlformats.org/officeDocument/2006/relationships/sharedStrings" Target="sharedStrings.xml"/>
</ns0:Relationships>

</file>

<file path=xl/worksheets/sheet1.xml><?xml version="1.0" encoding="utf-8"?>
<ns0:worksheet xmlns:ns0="http://schemas.openxmlformats.org/spreadsheetml/2006/main">
  <ns0:sheetData>
    <ns0:row r="1">
      <ns0:c r="A1" t="s">
        <ns0:v>0</ns0:v>
      </ns0:c>
    </ns0:row>
    <ns0:row r="2">
      <ns0:c r="A2" t="s">
        <ns0:v>1</ns0:v>
      </ns0:c>
      <ns0:c r="B2" t="s">
        <ns0:v>2</ns0:v>
      </ns0:c>
    </ns0:row>
    <ns0:row r="3">
      <ns0:c r="A3" t="s">
        <ns0:v>3</ns0:v>
      </ns0:c>
      <ns0:c r="B3" t="s">
        <ns0:v>4</ns0:v>
      </ns0:c>
    </ns0:row>
    <ns0:row r="5">
      <ns0:c r="A5" t="s">
        <ns0:v>5</ns0:v>
      </ns0:c>
      <ns0:c r="B5" t="s">
        <ns0:v>6</ns0:v>
      </ns0:c>
      <ns0:c r="C5" t="s">
        <ns0:v>7</ns0:v>
      </ns0:c>
      <ns0:c r="D5" t="s">
        <ns0:v>8</ns0:v>
      </ns0:c>
      <ns0:c r="E5" t="s">
        <ns0:v>9</ns0:v>
      </ns0:c>
    </ns0:row>
    <ns0:row r="6">
      <ns0:c r="A6" t="s">
        <ns0:v>10</ns0:v>
      </ns0:c>
      <ns0:c r="B6" t="s">
        <ns0:v>11</ns0:v>
      </ns0:c>
      <ns0:c r="C6" s="3" t="s">
        <ns0:v>12</ns0:v>
      </ns0:c>
      <ns0:c r="D6" s="3" t="s">
        <ns0:v>13</ns0:v>
      </ns0:c>
      <ns0:c r="E6" t="s">
        <ns0:f>C6-D6</ns0:f>
        <ns0:v>0</ns0:v>
      </ns0:c>
    </ns0:row>
    <ns0:row r="7">
      <ns0:c r="A7" t="s">
        <ns0:v>10</ns0:v>
      </ns0:c>
      <ns0:c r="B7" t="s">
        <ns0:v>15</ns0:v>
      </ns0:c>
      <ns0:c r="C7" s="3" t="s">
        <ns0:v>16</ns0:v>
      </ns0:c>
      <ns0:c r="D7" s="3" t="s">
        <ns0:v>17</ns0:v>
      </ns0:c>
      <ns0:c r="E7" t="s">
        <ns0:f>C7-D7</ns0:f>
        <ns0:v>0</ns0:v>
      </ns0:c>
    </ns0:row>
    <ns0:row r="8">
      <ns0:c r="A8" t="s">
        <ns0:v>18</ns0:v>
      </ns0:c>
      <ns0:c r="B8" t="s">
        <ns0:v>19</ns0:v>
      </ns0:c>
      <ns0:c r="C8" s="3" t="s">
        <ns0:v>20</ns0:v>
      </ns0:c>
      <ns0:c r="D8" s="3" t="s">
        <ns0:v>21</ns0:v>
      </ns0:c>
      <ns0:c r="E8" t="s">
        <ns0:f>C8-D8</ns0:f>
        <ns0:v>0</ns0:v>
      </ns0:c>
    </ns0:row>
    <ns0:row r="9">
      <ns0:c r="A9" t="s">
        <ns0:v>18</ns0:v>
      </ns0:c>
      <ns0:c r="B9" t="s">
        <ns0:v>22</ns0:v>
      </ns0:c>
      <ns0:c r="C9" s="3" t="s">
        <ns0:v>23</ns0:v>
      </ns0:c>
      <ns0:c r="D9" s="3" t="s">
        <ns0:v>24</ns0:v>
      </ns0:c>
      <ns0:c r="E9" t="s">
        <ns0:f>C9-D9</ns0:f>
        <ns0:v>0</ns0:v>
      </ns0:c>
    </ns0:row>
    <ns0:row r="10">
      <ns0:c r="A10" t="s">
        <ns0:v>25</ns0:v>
      </ns0:c>
      <ns0:c r="B10" t="s">
        <ns0:v>26</ns0:v>
      </ns0:c>
      <ns0:c r="C10" s="3" t="s">
        <ns0:v>27</ns0:v>
      </ns0:c>
      <ns0:c r="D10" s="3" t="s">
        <ns0:v>28</ns0:v>
      </ns0:c>
      <ns0:c r="E10" t="s">
        <ns0:f>C10-D10</ns0:f>
        <ns0:v>0</ns0:v>
      </ns0:c>
    </ns0:row>
    <ns0:row r="11">
      <ns0:c r="A11" t="s">
        <ns0:v>25</ns0:v>
      </ns0:c>
      <ns0:c r="B11" t="s">
        <ns0:v>29</ns0:v>
      </ns0:c>
      <ns0:c r="C11" s="3" t="s">
        <ns0:v>30</ns0:v>
      </ns0:c>
      <ns0:c r="D11" s="3" t="s">
        <ns0:v>31</ns0:v>
      </ns0:c>
      <ns0:c r="E11" t="s">
        <ns0:f>C11-D11</ns0:f>
        <ns0:v>0</ns0:v>
      </ns0:c>
    </ns0:row>
    <ns0:row r="13">
      <ns0:c r="B13" t="s">
        <ns0:v>32</ns0:v>
      </ns0:c>
      <ns0:c r="C13" t="s">
        <ns0:f>SUM(C6:C11)</ns0:f>
        <ns0:v>0</ns0:v>
      </ns0:c>
      <ns0:c r="D13" t="s">
        <ns0:f>SUM(D6:D11)</ns0:f>
        <ns0:v>0</ns0:v>
      </ns0:c>
      <ns0:c r="E13" t="s">
        <ns0:f>C13-D13</ns0:f>
        <ns0:v>0</ns0:v>
      </ns0:c>
    </ns0:row>
    <ns0:row r="15">
      <ns0:c r="A15" t="s">
        <ns0:v>33</ns0:v>
      </ns0:c>
      <ns0:c r="B15" t="s">
        <ns0:v>34</ns0:v>
      </ns0:c>
    </ns0:row>
    <ns0:row r="16">
      <ns0:c r="A16" t="s">
        <ns0:v>35</ns0:v>
      </ns0:c>
      <ns0:c r="B16" t="s">
        <ns0:v>36</ns0:v>
      </ns0:c>
    </ns0:row>
    <ns0:row r="17">
      <ns0:c r="A17" s="1" t="s">
        <ns0:v>37</ns0:v>
      </ns0:c>
    </ns0:row>
  </ns0:sheetData>
</ns0:worksheet>
</file>